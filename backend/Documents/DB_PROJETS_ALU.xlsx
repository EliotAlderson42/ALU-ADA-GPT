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OITE A OUTILS IA\"/>
    </mc:Choice>
  </mc:AlternateContent>
  <xr:revisionPtr revIDLastSave="0" documentId="13_ncr:1_{0A019936-C740-4F8D-9F28-81F280E035A7}" xr6:coauthVersionLast="47" xr6:coauthVersionMax="47" xr10:uidLastSave="{00000000-0000-0000-0000-000000000000}"/>
  <bookViews>
    <workbookView xWindow="-108" yWindow="-108" windowWidth="30936" windowHeight="16776" xr2:uid="{AB4BDECB-5D6B-478A-A328-030E3185D090}"/>
  </bookViews>
  <sheets>
    <sheet name="PROJETS" sheetId="1" r:id="rId1"/>
    <sheet name="LISTES_REFERENC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9" i="1"/>
  <c r="S13" i="1"/>
  <c r="S2" i="1"/>
  <c r="S17" i="1"/>
  <c r="S16" i="1"/>
  <c r="S3" i="1"/>
  <c r="S12" i="1"/>
  <c r="S15" i="1"/>
  <c r="S8" i="1"/>
  <c r="S10" i="1"/>
  <c r="S14" i="1"/>
  <c r="S7" i="1"/>
  <c r="S6" i="1"/>
  <c r="S18" i="1"/>
  <c r="S5" i="1"/>
  <c r="S11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</calcChain>
</file>

<file path=xl/sharedStrings.xml><?xml version="1.0" encoding="utf-8"?>
<sst xmlns="http://schemas.openxmlformats.org/spreadsheetml/2006/main" count="443" uniqueCount="194">
  <si>
    <t>ID_PROJET</t>
  </si>
  <si>
    <t>NOM_PROJET</t>
  </si>
  <si>
    <t>VILLE</t>
  </si>
  <si>
    <t>DEPARTEMENT</t>
  </si>
  <si>
    <t>REGION</t>
  </si>
  <si>
    <t>PAYS</t>
  </si>
  <si>
    <t>MAITRE_OUVRAGE</t>
  </si>
  <si>
    <t>COUT_M2_HT</t>
  </si>
  <si>
    <t>NIVEAUX</t>
  </si>
  <si>
    <t>MISSION_AGENCE</t>
  </si>
  <si>
    <t>PARTENAIRES</t>
  </si>
  <si>
    <t>MOTS_CLES_STRATEGIQUES</t>
  </si>
  <si>
    <t>RESUME_PROJET</t>
  </si>
  <si>
    <t>POINTS_FORTS</t>
  </si>
  <si>
    <t>CONTRAINTES_MAJEURES</t>
  </si>
  <si>
    <t>PARTI_ARCHITECTURAL</t>
  </si>
  <si>
    <t>INNOVATION_TECHNIQUE</t>
  </si>
  <si>
    <t>15-642</t>
  </si>
  <si>
    <t>MDH LARDY</t>
  </si>
  <si>
    <t>Concours</t>
  </si>
  <si>
    <t>Chantier</t>
  </si>
  <si>
    <t>Livré</t>
  </si>
  <si>
    <t>Etude</t>
  </si>
  <si>
    <t>PC Déposé</t>
  </si>
  <si>
    <t>Non Retenu</t>
  </si>
  <si>
    <t>Construction neuve</t>
  </si>
  <si>
    <t>Réhabilitation</t>
  </si>
  <si>
    <t>Extension</t>
  </si>
  <si>
    <t>Restructuration</t>
  </si>
  <si>
    <t>Rénovation énergétique</t>
  </si>
  <si>
    <t>Ravalement</t>
  </si>
  <si>
    <t>Urbanisme</t>
  </si>
  <si>
    <t>Paysage</t>
  </si>
  <si>
    <t>Architecture d'intérieur</t>
  </si>
  <si>
    <t>Logement</t>
  </si>
  <si>
    <t>Scolaire</t>
  </si>
  <si>
    <t>Culturel</t>
  </si>
  <si>
    <t>Sportif</t>
  </si>
  <si>
    <t>Tertiaire</t>
  </si>
  <si>
    <t>Santé</t>
  </si>
  <si>
    <t>Equipement public</t>
  </si>
  <si>
    <t>Industriel</t>
  </si>
  <si>
    <t>Aménagement Urbain</t>
  </si>
  <si>
    <t>Collège</t>
  </si>
  <si>
    <t>Lycée</t>
  </si>
  <si>
    <t>Elémentaire</t>
  </si>
  <si>
    <t>Groupe scolaire</t>
  </si>
  <si>
    <t>Logement Collectif</t>
  </si>
  <si>
    <t>Logement Individuel</t>
  </si>
  <si>
    <t>Gymnase</t>
  </si>
  <si>
    <t>Médiathèque</t>
  </si>
  <si>
    <t>Bureaux</t>
  </si>
  <si>
    <t>Data Center</t>
  </si>
  <si>
    <t>Station d'épuration</t>
  </si>
  <si>
    <t>Publique</t>
  </si>
  <si>
    <t>Privé</t>
  </si>
  <si>
    <t>Résidence</t>
  </si>
  <si>
    <t>Résidence Séniors</t>
  </si>
  <si>
    <t>Résidence Etudiante</t>
  </si>
  <si>
    <t>Lardy</t>
  </si>
  <si>
    <t>France</t>
  </si>
  <si>
    <t>MDH</t>
  </si>
  <si>
    <t>R+3</t>
  </si>
  <si>
    <t>Béton</t>
  </si>
  <si>
    <t>Béton Préfabriqué</t>
  </si>
  <si>
    <t>Bois</t>
  </si>
  <si>
    <t>MOB</t>
  </si>
  <si>
    <t>Acier</t>
  </si>
  <si>
    <t>Brique</t>
  </si>
  <si>
    <t>Modules Préfabriqués</t>
  </si>
  <si>
    <t>NF Habitat</t>
  </si>
  <si>
    <t>HQE</t>
  </si>
  <si>
    <t>NON</t>
  </si>
  <si>
    <t>PATRIMOINE</t>
  </si>
  <si>
    <t>REHABILITATION</t>
  </si>
  <si>
    <t>EXTENSION</t>
  </si>
  <si>
    <t>OUI</t>
  </si>
  <si>
    <t>BIM</t>
  </si>
  <si>
    <t>RE2020</t>
  </si>
  <si>
    <t>COMPLEXITE</t>
  </si>
  <si>
    <t>19-198</t>
  </si>
  <si>
    <t>CONFIANCE ORMOY</t>
  </si>
  <si>
    <t>17-931</t>
  </si>
  <si>
    <t>HALLE LARDY</t>
  </si>
  <si>
    <t>ALU</t>
  </si>
  <si>
    <t>Conception</t>
  </si>
  <si>
    <t>OPC</t>
  </si>
  <si>
    <t>EXE</t>
  </si>
  <si>
    <t>AMO</t>
  </si>
  <si>
    <t>Complète</t>
  </si>
  <si>
    <t>BIM MANAGER</t>
  </si>
  <si>
    <t>DIAG</t>
  </si>
  <si>
    <t>Lots Séparés</t>
  </si>
  <si>
    <t>Macros Lots</t>
  </si>
  <si>
    <t>Générale</t>
  </si>
  <si>
    <t>LISTE TYPE PROGRAMME</t>
  </si>
  <si>
    <t>LISTE SOUS TYPE</t>
  </si>
  <si>
    <t>LISTE TYPOLOGIE OPERATION</t>
  </si>
  <si>
    <t>LISTE STATUT</t>
  </si>
  <si>
    <t>LISTE TYPE MAITRE OUVRAGE</t>
  </si>
  <si>
    <t>LISTE MISSION</t>
  </si>
  <si>
    <t>LISTE MISSION COMPLEMENTAIRE</t>
  </si>
  <si>
    <t>LISTE MATERIAUX</t>
  </si>
  <si>
    <t>LISTE LABELS ENVIRONNEMENTAUX</t>
  </si>
  <si>
    <t>LISTE ENTREPRISE TYPE</t>
  </si>
  <si>
    <t>14-549</t>
  </si>
  <si>
    <t>OMF BRETIGNY</t>
  </si>
  <si>
    <t>Bretigny</t>
  </si>
  <si>
    <t>IDF</t>
  </si>
  <si>
    <t>Commerce</t>
  </si>
  <si>
    <t>Ormoy</t>
  </si>
  <si>
    <t>COMMUNE</t>
  </si>
  <si>
    <t>CONFIANCE</t>
  </si>
  <si>
    <t>R+2</t>
  </si>
  <si>
    <t>Parking</t>
  </si>
  <si>
    <t>Mess</t>
  </si>
  <si>
    <t>21-350</t>
  </si>
  <si>
    <t>CA IMMO  SGDB</t>
  </si>
  <si>
    <t>Sainte geneviève des Bois</t>
  </si>
  <si>
    <t>CA Immobilier</t>
  </si>
  <si>
    <t>CONCOURS LIMOURS</t>
  </si>
  <si>
    <t>Limours-en-Hurepoix</t>
  </si>
  <si>
    <t>DOMAXIA &amp; LOGIAL OPH</t>
  </si>
  <si>
    <t>R+1</t>
  </si>
  <si>
    <t>20-296</t>
  </si>
  <si>
    <t>LOGEMENTS VILLERME</t>
  </si>
  <si>
    <t>Morangis</t>
  </si>
  <si>
    <t>CONFIANCE MORANGIS</t>
  </si>
  <si>
    <t>19-179</t>
  </si>
  <si>
    <t>SURELEVATION CHATILLON</t>
  </si>
  <si>
    <t>Chatillon</t>
  </si>
  <si>
    <t>20-251</t>
  </si>
  <si>
    <t>Public</t>
  </si>
  <si>
    <t>COGEDIM EPINAY</t>
  </si>
  <si>
    <t>Epinay sur Orge</t>
  </si>
  <si>
    <t>COGEDIM</t>
  </si>
  <si>
    <t>MOULIN VERT LARDY</t>
  </si>
  <si>
    <t>MOULIN VERT</t>
  </si>
  <si>
    <t>18-033</t>
  </si>
  <si>
    <t>17-883</t>
  </si>
  <si>
    <t>14-557</t>
  </si>
  <si>
    <t>CONFIANCE CORBEIL RESIDENCE</t>
  </si>
  <si>
    <t>19-213</t>
  </si>
  <si>
    <t>Corbeil Essonnes</t>
  </si>
  <si>
    <t>Résidence Jeunes Travailleurs</t>
  </si>
  <si>
    <t>IDEF ETAMPES</t>
  </si>
  <si>
    <t>16-859</t>
  </si>
  <si>
    <t>Etampes</t>
  </si>
  <si>
    <t>IDEF</t>
  </si>
  <si>
    <t>Foyer d'accueil</t>
  </si>
  <si>
    <t>15-716</t>
  </si>
  <si>
    <t>UNITI MARCOUSSIS</t>
  </si>
  <si>
    <t>Marcoussis</t>
  </si>
  <si>
    <t>Uniti Habitat &amp; Famille</t>
  </si>
  <si>
    <t>SULLY ST CYR</t>
  </si>
  <si>
    <t>St Cyr l'Ecole</t>
  </si>
  <si>
    <t>Sully</t>
  </si>
  <si>
    <t>R+4</t>
  </si>
  <si>
    <t>18-126</t>
  </si>
  <si>
    <t>ACCUEIL EPINAY</t>
  </si>
  <si>
    <t>ACCUEIL IMMOBILIER</t>
  </si>
  <si>
    <t>GYMNASE CHILLY</t>
  </si>
  <si>
    <t>Chilly Mazarin</t>
  </si>
  <si>
    <t>Ville de Chilly Mazarin</t>
  </si>
  <si>
    <t>NF équipements sportifs</t>
  </si>
  <si>
    <t>BBC PEQA</t>
  </si>
  <si>
    <t>COMPLEXE ST EXUPERY</t>
  </si>
  <si>
    <t>ADA</t>
  </si>
  <si>
    <t>Villebon sur Yvette</t>
  </si>
  <si>
    <t>Ville de Villebon sur Yvette</t>
  </si>
  <si>
    <t>Rénovation thermique</t>
  </si>
  <si>
    <t>SGDB POULIDOR</t>
  </si>
  <si>
    <t>Ville de Sainte-Geneviève-des-Bois</t>
  </si>
  <si>
    <t>RENOVATION THERMIQUE</t>
  </si>
  <si>
    <t>ENTREPRISE TYPE</t>
  </si>
  <si>
    <t>TYPE MARCHE</t>
  </si>
  <si>
    <t>MILIEU OCCUPE</t>
  </si>
  <si>
    <t>CONSTRUCTION NEUVE</t>
  </si>
  <si>
    <t>LABEL ENVIRONNEMENTAL</t>
  </si>
  <si>
    <t>STRUCTURE PRINCIPALE</t>
  </si>
  <si>
    <t>MATERIAU PRINCIPAL</t>
  </si>
  <si>
    <t>NOMBRE LOGEMENTS</t>
  </si>
  <si>
    <t>DUREE CHANTIER / MOIS</t>
  </si>
  <si>
    <t>TYPE MAITRE OUVRAGE</t>
  </si>
  <si>
    <t>SURFACE SDP m²</t>
  </si>
  <si>
    <t>SURFACE SHAB m²</t>
  </si>
  <si>
    <t>COUT TRAVAUX HT</t>
  </si>
  <si>
    <t>ANNEE LIVRAISON</t>
  </si>
  <si>
    <t>ANNEE CONCEPTION</t>
  </si>
  <si>
    <t>STATUT PROJET</t>
  </si>
  <si>
    <t>EQUIPE INTERNE</t>
  </si>
  <si>
    <t>TYPOLOGIE OPERATION</t>
  </si>
  <si>
    <t>SOUS TYPE PROGRAMME</t>
  </si>
  <si>
    <t>TYPE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</si>
</sst>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7">
    <dxf>
      <alignment horizontal="center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#,##0\ &quot;€&quot;"/>
      <alignment horizontal="center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4" formatCode="#,##0\ &quot;€&quot;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7A5AA-63A2-4AF4-92D2-DA502A28B70B}" name="PROJETS" displayName="PROJETS" ref="A1:AS48" totalsRowShown="0" headerRowDxfId="3" dataDxfId="46">
  <autoFilter ref="A1:AS48" xr:uid="{0797A5AA-63A2-4AF4-92D2-DA502A28B70B}"/>
  <sortState xmlns:xlrd2="http://schemas.microsoft.com/office/spreadsheetml/2017/richdata2" ref="A2:AS48">
    <sortCondition ref="A1:A48"/>
  </sortState>
  <tableColumns count="45">
    <tableColumn id="1" xr3:uid="{6DE8DEFE-F256-4BBE-A551-CE0E238B39C0}" name="ID_PROJET" dataDxfId="45"/>
    <tableColumn id="2" xr3:uid="{BED71C53-F08C-46C6-AF7D-31F3FA152A97}" name="NOM_PROJET" dataDxfId="44"/>
    <tableColumn id="47" xr3:uid="{18B0FAD9-FD48-40AF-B909-8427AE1BF77E}" name="EQUIPE INTERNE" dataDxfId="43"/>
    <tableColumn id="3" xr3:uid="{3494DBDE-AEE1-48C6-ACCC-AFF727CE7D01}" name="STATUT PROJET" dataDxfId="42"/>
    <tableColumn id="4" xr3:uid="{72815CA0-E5E4-4F7A-BBE1-C79C20A1E060}" name="ANNEE CONCEPTION" dataDxfId="41"/>
    <tableColumn id="5" xr3:uid="{E2E8C9DF-9F60-49D1-9FA3-9A1D9C691467}" name="ANNEE LIVRAISON" dataDxfId="40"/>
    <tableColumn id="6" xr3:uid="{89F794D9-B147-4338-AF9D-40ED24380E33}" name="VILLE" dataDxfId="2"/>
    <tableColumn id="7" xr3:uid="{26035BFD-6F8B-4C5B-8805-D8D2DE5FCAA9}" name="DEPARTEMENT" dataDxfId="0"/>
    <tableColumn id="8" xr3:uid="{AF7943C6-E575-482B-8AFA-DEA60A47B6F7}" name="REGION" dataDxfId="1"/>
    <tableColumn id="9" xr3:uid="{3CE59B42-7932-4C43-B3DF-A393DB82F11D}" name="PAYS" dataDxfId="39"/>
    <tableColumn id="10" xr3:uid="{01307B3D-215F-4E2C-B2DA-2493A5C4160C}" name="TYPE PROGRAMME" dataDxfId="38"/>
    <tableColumn id="11" xr3:uid="{A9454D32-B725-4160-9C01-FE75DA09068C}" name="SOUS TYPE PROGRAMME" dataDxfId="37"/>
    <tableColumn id="12" xr3:uid="{9A10EB46-46EA-4A36-A3AB-398F22C23C17}" name="TYPOLOGIE OPERATION" dataDxfId="36"/>
    <tableColumn id="13" xr3:uid="{FA8838EC-EA6A-4B7F-9266-838E6BD99A86}" name="MAITRE_OUVRAGE" dataDxfId="35"/>
    <tableColumn id="14" xr3:uid="{D2A1A9FD-D18E-4DB2-A236-ECC7F55A4FAE}" name="TYPE MAITRE OUVRAGE" dataDxfId="10"/>
    <tableColumn id="15" xr3:uid="{C126CB1C-11BC-4A82-8193-6B03C1043783}" name="SURFACE SDP m²" dataDxfId="9"/>
    <tableColumn id="16" xr3:uid="{11F4422B-C7CA-4561-8FAA-A1069C38AB27}" name="SURFACE SHAB m²" dataDxfId="8"/>
    <tableColumn id="17" xr3:uid="{D4EBE60D-F7B5-440A-977A-7266AF3B9F78}" name="COUT TRAVAUX HT" dataDxfId="7"/>
    <tableColumn id="18" xr3:uid="{6EEF0ABA-8368-4FBB-A6F6-A491D05D106F}" name="COUT_M2_HT" dataDxfId="5">
      <calculatedColumnFormula>PROJETS[[#This Row],[COUT TRAVAUX HT]]/PROJETS[[#This Row],[SURFACE SDP m²]]</calculatedColumnFormula>
    </tableColumn>
    <tableColumn id="19" xr3:uid="{F0954512-0105-4771-BAA5-AD62A000868D}" name="DUREE CHANTIER / MOIS" dataDxfId="6"/>
    <tableColumn id="20" xr3:uid="{B8D34644-D71F-44DF-A439-8EB86263CEC4}" name="NIVEAUX" dataDxfId="34"/>
    <tableColumn id="21" xr3:uid="{8AE25B42-F692-407E-BD34-425FC6175594}" name="NOMBRE LOGEMENTS" dataDxfId="33"/>
    <tableColumn id="22" xr3:uid="{FFDF849D-38A3-4DC6-B3B5-3326BABA7F75}" name="MATERIAU PRINCIPAL" dataDxfId="32"/>
    <tableColumn id="23" xr3:uid="{00C86CC1-C3B6-4597-B562-D3347CBE56DD}" name="STRUCTURE PRINCIPALE" dataDxfId="31"/>
    <tableColumn id="24" xr3:uid="{B74D8BFC-207D-4F45-9281-C7B7CFB53564}" name="LABEL ENVIRONNEMENTAL" dataDxfId="30"/>
    <tableColumn id="25" xr3:uid="{78BA506C-B566-40AD-9B91-4A629D390502}" name="MISSION_AGENCE" dataDxfId="29"/>
    <tableColumn id="48" xr3:uid="{5FB1D9BE-6384-4B69-8D27-021A563C90AC}" name="LISTE MISSION COMPLEMENTAIRE" dataDxfId="28"/>
    <tableColumn id="28" xr3:uid="{1BF7F523-DCD0-42CA-8E6C-F60DE62AAC41}" name="PARTENAIRES" dataDxfId="27"/>
    <tableColumn id="29" xr3:uid="{DE5ED38E-D9F5-47B3-8B1B-70BF531F79B6}" name="ENTREPRISE TYPE" dataDxfId="26"/>
    <tableColumn id="30" xr3:uid="{2B5CEF62-B443-4932-BAF2-9B4DECA491D8}" name="TYPE MARCHE" dataDxfId="25"/>
    <tableColumn id="31" xr3:uid="{2965623E-2E80-43AC-99DD-1394DB09CAF2}" name="MILIEU OCCUPE" dataDxfId="24"/>
    <tableColumn id="32" xr3:uid="{F287D7B8-DA9B-4305-82E2-9D7CDB7072D8}" name="PATRIMOINE" dataDxfId="23"/>
    <tableColumn id="33" xr3:uid="{C3259B65-FF43-4F9E-BA93-9F80ACF66BD8}" name="REHABILITATION" dataDxfId="22"/>
    <tableColumn id="34" xr3:uid="{B631482E-1545-4D6C-AB09-77970A11EF7E}" name="EXTENSION" dataDxfId="21"/>
    <tableColumn id="35" xr3:uid="{D71614A7-DFCA-4CDC-91BF-B59E672312D4}" name="CONSTRUCTION NEUVE" dataDxfId="20"/>
    <tableColumn id="26" xr3:uid="{113BF454-527B-4958-AB22-D856E54F6176}" name="RENOVATION THERMIQUE" dataDxfId="4"/>
    <tableColumn id="36" xr3:uid="{F441DC91-64E3-4A33-8834-00709F03DD25}" name="BIM" dataDxfId="19"/>
    <tableColumn id="37" xr3:uid="{6309E37C-89EB-4BF2-9552-76E8EFDA9224}" name="RE2020" dataDxfId="18"/>
    <tableColumn id="38" xr3:uid="{1C886390-7A70-4ECF-84B7-D095FF69D285}" name="COMPLEXITE" dataDxfId="17"/>
    <tableColumn id="39" xr3:uid="{24CB6B89-DCA8-4FBB-9173-59EF08416F4F}" name="MOTS_CLES_STRATEGIQUES" dataDxfId="16"/>
    <tableColumn id="40" xr3:uid="{74316484-6900-486E-85F8-E227EFF8C52D}" name="RESUME_PROJET" dataDxfId="15"/>
    <tableColumn id="41" xr3:uid="{94F11369-322B-4DA8-8C15-6245DA3460ED}" name="POINTS_FORTS" dataDxfId="14"/>
    <tableColumn id="42" xr3:uid="{643156E4-A8A5-4C90-A5C1-BD1EC0795A6C}" name="CONTRAINTES_MAJEURES" dataDxfId="13"/>
    <tableColumn id="43" xr3:uid="{A63038C4-249D-494F-8F28-D6A9837544B7}" name="PARTI_ARCHITECTURAL" dataDxfId="12"/>
    <tableColumn id="44" xr3:uid="{AD83A594-F58D-4D31-AE85-D01C2D99F2FA}" name="INNOVATION_TECHNIQUE" dataDxfId="1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C021-FF68-45CB-B71D-8C62C7C97807}">
  <dimension ref="A1:AS48"/>
  <sheetViews>
    <sheetView tabSelected="1" workbookViewId="0">
      <pane ySplit="1" topLeftCell="A2" activePane="bottomLeft" state="frozen"/>
      <selection pane="bottomLeft" activeCell="G29" sqref="G29"/>
    </sheetView>
  </sheetViews>
  <sheetFormatPr baseColWidth="10" defaultRowHeight="14.4" x14ac:dyDescent="0.3"/>
  <cols>
    <col min="1" max="1" width="11.5546875" style="1"/>
    <col min="2" max="2" width="31.21875" style="1" customWidth="1"/>
    <col min="3" max="3" width="10.21875" style="1" customWidth="1"/>
    <col min="4" max="4" width="15.109375" style="1" customWidth="1"/>
    <col min="5" max="5" width="11.6640625" style="1" customWidth="1"/>
    <col min="6" max="6" width="10.5546875" style="1" customWidth="1"/>
    <col min="7" max="7" width="21" style="1" customWidth="1"/>
    <col min="8" max="8" width="11.5546875" style="1" customWidth="1"/>
    <col min="9" max="9" width="14.44140625" style="1" customWidth="1"/>
    <col min="10" max="10" width="10.88671875" style="1" customWidth="1"/>
    <col min="11" max="11" width="19.6640625" style="1" customWidth="1"/>
    <col min="12" max="12" width="24.21875" style="1" customWidth="1"/>
    <col min="13" max="13" width="19.88671875" style="1" customWidth="1"/>
    <col min="14" max="14" width="28.6640625" style="1" customWidth="1"/>
    <col min="15" max="15" width="14.33203125" style="1" customWidth="1"/>
    <col min="16" max="16" width="13.6640625" style="1" customWidth="1"/>
    <col min="17" max="17" width="15.109375" style="1" customWidth="1"/>
    <col min="18" max="18" width="14.88671875" style="1" customWidth="1"/>
    <col min="19" max="19" width="13.77734375" style="1" customWidth="1"/>
    <col min="20" max="20" width="12" style="1" customWidth="1"/>
    <col min="21" max="21" width="10" style="1" customWidth="1"/>
    <col min="22" max="22" width="9.88671875" style="1" customWidth="1"/>
    <col min="23" max="23" width="13" style="1" customWidth="1"/>
    <col min="24" max="24" width="12.21875" style="1" customWidth="1"/>
    <col min="25" max="25" width="16.33203125" style="1" customWidth="1"/>
    <col min="26" max="26" width="13.77734375" style="1" customWidth="1"/>
    <col min="27" max="27" width="14.44140625" style="1" customWidth="1"/>
    <col min="28" max="28" width="15.33203125" style="1" customWidth="1"/>
    <col min="29" max="29" width="13.33203125" style="1" customWidth="1"/>
    <col min="30" max="30" width="12" style="1" customWidth="1"/>
    <col min="31" max="39" width="10.77734375" style="1" customWidth="1"/>
    <col min="40" max="40" width="29.6640625" style="1" customWidth="1"/>
    <col min="41" max="41" width="27.109375" style="1" customWidth="1"/>
    <col min="42" max="42" width="19.6640625" style="1" customWidth="1"/>
    <col min="43" max="43" width="26.109375" style="1" customWidth="1"/>
    <col min="44" max="44" width="23.88671875" style="1" customWidth="1"/>
    <col min="45" max="45" width="25.88671875" style="1" customWidth="1"/>
    <col min="46" max="16384" width="11.5546875" style="1"/>
  </cols>
  <sheetData>
    <row r="1" spans="1:45" s="8" customFormat="1" ht="51" customHeight="1" x14ac:dyDescent="0.3">
      <c r="A1" s="8" t="s">
        <v>0</v>
      </c>
      <c r="B1" s="8" t="s">
        <v>1</v>
      </c>
      <c r="C1" s="8" t="s">
        <v>190</v>
      </c>
      <c r="D1" s="8" t="s">
        <v>189</v>
      </c>
      <c r="E1" s="8" t="s">
        <v>188</v>
      </c>
      <c r="F1" s="8" t="s">
        <v>187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193</v>
      </c>
      <c r="L1" s="8" t="s">
        <v>192</v>
      </c>
      <c r="M1" s="8" t="s">
        <v>191</v>
      </c>
      <c r="N1" s="8" t="s">
        <v>6</v>
      </c>
      <c r="O1" s="8" t="s">
        <v>183</v>
      </c>
      <c r="P1" s="8" t="s">
        <v>184</v>
      </c>
      <c r="Q1" s="8" t="s">
        <v>185</v>
      </c>
      <c r="R1" s="8" t="s">
        <v>186</v>
      </c>
      <c r="S1" s="8" t="s">
        <v>7</v>
      </c>
      <c r="T1" s="8" t="s">
        <v>182</v>
      </c>
      <c r="U1" s="8" t="s">
        <v>8</v>
      </c>
      <c r="V1" s="8" t="s">
        <v>181</v>
      </c>
      <c r="W1" s="8" t="s">
        <v>180</v>
      </c>
      <c r="X1" s="8" t="s">
        <v>179</v>
      </c>
      <c r="Y1" s="8" t="s">
        <v>178</v>
      </c>
      <c r="Z1" s="8" t="s">
        <v>9</v>
      </c>
      <c r="AA1" s="8" t="s">
        <v>101</v>
      </c>
      <c r="AB1" s="8" t="s">
        <v>10</v>
      </c>
      <c r="AC1" s="8" t="s">
        <v>174</v>
      </c>
      <c r="AD1" s="8" t="s">
        <v>175</v>
      </c>
      <c r="AE1" s="8" t="s">
        <v>176</v>
      </c>
      <c r="AF1" s="8" t="s">
        <v>73</v>
      </c>
      <c r="AG1" s="8" t="s">
        <v>74</v>
      </c>
      <c r="AH1" s="8" t="s">
        <v>75</v>
      </c>
      <c r="AI1" s="8" t="s">
        <v>177</v>
      </c>
      <c r="AJ1" s="8" t="s">
        <v>173</v>
      </c>
      <c r="AK1" s="8" t="s">
        <v>77</v>
      </c>
      <c r="AL1" s="8" t="s">
        <v>78</v>
      </c>
      <c r="AM1" s="8" t="s">
        <v>79</v>
      </c>
      <c r="AN1" s="8" t="s">
        <v>11</v>
      </c>
      <c r="AO1" s="8" t="s">
        <v>12</v>
      </c>
      <c r="AP1" s="8" t="s">
        <v>13</v>
      </c>
      <c r="AQ1" s="8" t="s">
        <v>14</v>
      </c>
      <c r="AR1" s="8" t="s">
        <v>15</v>
      </c>
      <c r="AS1" s="8" t="s">
        <v>16</v>
      </c>
    </row>
    <row r="2" spans="1:45" x14ac:dyDescent="0.3">
      <c r="A2" s="1" t="s">
        <v>105</v>
      </c>
      <c r="B2" s="1" t="s">
        <v>106</v>
      </c>
      <c r="C2" s="1" t="s">
        <v>84</v>
      </c>
      <c r="D2" s="1" t="s">
        <v>20</v>
      </c>
      <c r="E2" s="1">
        <v>2014</v>
      </c>
      <c r="F2" s="1">
        <v>2026</v>
      </c>
      <c r="G2" s="1" t="s">
        <v>107</v>
      </c>
      <c r="H2" s="9">
        <v>91</v>
      </c>
      <c r="I2" s="1" t="s">
        <v>108</v>
      </c>
      <c r="J2" s="1" t="s">
        <v>60</v>
      </c>
      <c r="K2" s="1" t="s">
        <v>109</v>
      </c>
      <c r="M2" s="1" t="s">
        <v>27</v>
      </c>
      <c r="O2" s="1" t="s">
        <v>55</v>
      </c>
      <c r="P2" s="6"/>
      <c r="Q2" s="6"/>
      <c r="R2" s="7"/>
      <c r="S2" s="7" t="e">
        <f>PROJETS[[#This Row],[COUT TRAVAUX HT]]/PROJETS[[#This Row],[SURFACE SDP m²]]</f>
        <v>#DIV/0!</v>
      </c>
    </row>
    <row r="3" spans="1:45" x14ac:dyDescent="0.3">
      <c r="A3" s="1" t="s">
        <v>140</v>
      </c>
      <c r="B3" s="1" t="s">
        <v>125</v>
      </c>
      <c r="C3" s="1" t="s">
        <v>84</v>
      </c>
      <c r="D3" s="1" t="s">
        <v>21</v>
      </c>
      <c r="F3" s="1">
        <v>2021</v>
      </c>
      <c r="G3" s="1" t="s">
        <v>59</v>
      </c>
      <c r="H3" s="9">
        <v>91</v>
      </c>
      <c r="I3" s="1" t="s">
        <v>108</v>
      </c>
      <c r="J3" s="1" t="s">
        <v>60</v>
      </c>
      <c r="K3" s="1" t="s">
        <v>34</v>
      </c>
      <c r="L3" s="1" t="s">
        <v>47</v>
      </c>
      <c r="M3" s="1" t="s">
        <v>25</v>
      </c>
      <c r="O3" s="1" t="s">
        <v>55</v>
      </c>
      <c r="P3" s="6">
        <v>1100</v>
      </c>
      <c r="Q3" s="6"/>
      <c r="R3" s="7">
        <v>1470000</v>
      </c>
      <c r="S3" s="7">
        <f>PROJETS[[#This Row],[COUT TRAVAUX HT]]/PROJETS[[#This Row],[SURFACE SDP m²]]</f>
        <v>1336.3636363636363</v>
      </c>
    </row>
    <row r="4" spans="1:45" x14ac:dyDescent="0.3">
      <c r="A4" s="1" t="s">
        <v>17</v>
      </c>
      <c r="B4" s="1" t="s">
        <v>18</v>
      </c>
      <c r="C4" s="1" t="s">
        <v>84</v>
      </c>
      <c r="D4" s="1" t="s">
        <v>21</v>
      </c>
      <c r="E4" s="1">
        <v>2015</v>
      </c>
      <c r="F4" s="1">
        <v>2025</v>
      </c>
      <c r="G4" s="1" t="s">
        <v>59</v>
      </c>
      <c r="H4" s="9">
        <v>91</v>
      </c>
      <c r="I4" s="1" t="s">
        <v>108</v>
      </c>
      <c r="J4" s="1" t="s">
        <v>60</v>
      </c>
      <c r="K4" s="1" t="s">
        <v>34</v>
      </c>
      <c r="L4" s="1" t="s">
        <v>47</v>
      </c>
      <c r="M4" s="1" t="s">
        <v>25</v>
      </c>
      <c r="N4" s="1" t="s">
        <v>61</v>
      </c>
      <c r="O4" s="1" t="s">
        <v>55</v>
      </c>
      <c r="P4" s="6"/>
      <c r="Q4" s="6"/>
      <c r="R4" s="7"/>
      <c r="S4" s="7" t="e">
        <f>PROJETS[[#This Row],[COUT TRAVAUX HT]]/PROJETS[[#This Row],[SURFACE SDP m²]]</f>
        <v>#DIV/0!</v>
      </c>
      <c r="U4" s="1" t="s">
        <v>62</v>
      </c>
      <c r="V4" s="1">
        <v>69</v>
      </c>
      <c r="W4" s="1" t="s">
        <v>63</v>
      </c>
      <c r="X4" s="1" t="s">
        <v>63</v>
      </c>
      <c r="Y4" s="1" t="s">
        <v>70</v>
      </c>
      <c r="Z4" s="1" t="s">
        <v>89</v>
      </c>
      <c r="AC4" s="1" t="s">
        <v>92</v>
      </c>
      <c r="AD4" s="1" t="s">
        <v>55</v>
      </c>
      <c r="AE4" s="1" t="s">
        <v>72</v>
      </c>
      <c r="AF4" s="1" t="s">
        <v>72</v>
      </c>
      <c r="AG4" s="1" t="s">
        <v>72</v>
      </c>
      <c r="AH4" s="1" t="s">
        <v>72</v>
      </c>
      <c r="AI4" s="1" t="s">
        <v>76</v>
      </c>
      <c r="AK4" s="1" t="s">
        <v>72</v>
      </c>
      <c r="AL4" s="1" t="s">
        <v>76</v>
      </c>
      <c r="AM4" s="1">
        <v>2</v>
      </c>
    </row>
    <row r="5" spans="1:45" x14ac:dyDescent="0.3">
      <c r="A5" s="1" t="s">
        <v>17</v>
      </c>
      <c r="B5" s="1" t="s">
        <v>18</v>
      </c>
      <c r="C5" s="1" t="s">
        <v>84</v>
      </c>
      <c r="D5" s="1" t="s">
        <v>20</v>
      </c>
      <c r="E5" s="1">
        <v>2015</v>
      </c>
      <c r="G5" s="1" t="s">
        <v>59</v>
      </c>
      <c r="H5" s="9">
        <v>91</v>
      </c>
      <c r="I5" s="1" t="s">
        <v>108</v>
      </c>
      <c r="J5" s="1" t="s">
        <v>60</v>
      </c>
      <c r="K5" s="1" t="s">
        <v>56</v>
      </c>
      <c r="L5" s="1" t="s">
        <v>57</v>
      </c>
      <c r="M5" s="1" t="s">
        <v>25</v>
      </c>
      <c r="N5" s="1" t="s">
        <v>61</v>
      </c>
      <c r="O5" s="1" t="s">
        <v>55</v>
      </c>
      <c r="P5" s="6"/>
      <c r="Q5" s="6"/>
      <c r="R5" s="7"/>
      <c r="S5" s="7" t="e">
        <f>PROJETS[[#This Row],[COUT TRAVAUX HT]]/PROJETS[[#This Row],[SURFACE SDP m²]]</f>
        <v>#DIV/0!</v>
      </c>
    </row>
    <row r="6" spans="1:45" x14ac:dyDescent="0.3">
      <c r="A6" s="1" t="s">
        <v>150</v>
      </c>
      <c r="B6" s="1" t="s">
        <v>151</v>
      </c>
      <c r="C6" s="1" t="s">
        <v>84</v>
      </c>
      <c r="D6" s="1" t="s">
        <v>21</v>
      </c>
      <c r="E6" s="1">
        <v>2015</v>
      </c>
      <c r="F6" s="1">
        <v>2019</v>
      </c>
      <c r="G6" s="1" t="s">
        <v>152</v>
      </c>
      <c r="H6" s="9">
        <v>91</v>
      </c>
      <c r="I6" s="1" t="s">
        <v>108</v>
      </c>
      <c r="J6" s="1" t="s">
        <v>60</v>
      </c>
      <c r="K6" s="1" t="s">
        <v>34</v>
      </c>
      <c r="L6" s="1" t="s">
        <v>47</v>
      </c>
      <c r="M6" s="1" t="s">
        <v>25</v>
      </c>
      <c r="N6" s="1" t="s">
        <v>153</v>
      </c>
      <c r="O6" s="1" t="s">
        <v>54</v>
      </c>
      <c r="P6" s="6">
        <v>3448</v>
      </c>
      <c r="Q6" s="6"/>
      <c r="R6" s="7">
        <v>4300000</v>
      </c>
      <c r="S6" s="7">
        <f>PROJETS[[#This Row],[COUT TRAVAUX HT]]/PROJETS[[#This Row],[SURFACE SDP m²]]</f>
        <v>1247.0997679814386</v>
      </c>
      <c r="U6" s="1" t="s">
        <v>113</v>
      </c>
      <c r="V6" s="1">
        <v>49</v>
      </c>
      <c r="W6" s="1" t="s">
        <v>63</v>
      </c>
      <c r="X6" s="1" t="s">
        <v>63</v>
      </c>
    </row>
    <row r="7" spans="1:45" x14ac:dyDescent="0.3">
      <c r="A7" s="1" t="s">
        <v>146</v>
      </c>
      <c r="B7" s="1" t="s">
        <v>145</v>
      </c>
      <c r="C7" s="1" t="s">
        <v>84</v>
      </c>
      <c r="D7" s="1" t="s">
        <v>21</v>
      </c>
      <c r="E7" s="1">
        <v>2016</v>
      </c>
      <c r="F7" s="1">
        <v>2020</v>
      </c>
      <c r="G7" s="1" t="s">
        <v>147</v>
      </c>
      <c r="H7" s="9">
        <v>91</v>
      </c>
      <c r="I7" s="1" t="s">
        <v>108</v>
      </c>
      <c r="J7" s="1" t="s">
        <v>60</v>
      </c>
      <c r="K7" s="1" t="s">
        <v>56</v>
      </c>
      <c r="L7" s="1" t="s">
        <v>149</v>
      </c>
      <c r="M7" s="1" t="s">
        <v>25</v>
      </c>
      <c r="N7" s="1" t="s">
        <v>148</v>
      </c>
      <c r="O7" s="1" t="s">
        <v>54</v>
      </c>
      <c r="P7" s="6">
        <v>865</v>
      </c>
      <c r="Q7" s="6"/>
      <c r="R7" s="7">
        <v>1372000</v>
      </c>
      <c r="S7" s="7">
        <f>PROJETS[[#This Row],[COUT TRAVAUX HT]]/PROJETS[[#This Row],[SURFACE SDP m²]]</f>
        <v>1586.1271676300578</v>
      </c>
      <c r="U7" s="1" t="s">
        <v>123</v>
      </c>
      <c r="V7" s="1">
        <v>17</v>
      </c>
    </row>
    <row r="8" spans="1:45" x14ac:dyDescent="0.3">
      <c r="A8" s="1" t="s">
        <v>139</v>
      </c>
      <c r="B8" s="1" t="s">
        <v>133</v>
      </c>
      <c r="C8" s="1" t="s">
        <v>84</v>
      </c>
      <c r="D8" s="1" t="s">
        <v>21</v>
      </c>
      <c r="E8" s="1">
        <v>2017</v>
      </c>
      <c r="F8" s="1">
        <v>2023</v>
      </c>
      <c r="G8" s="1" t="s">
        <v>134</v>
      </c>
      <c r="H8" s="9">
        <v>91</v>
      </c>
      <c r="I8" s="1" t="s">
        <v>108</v>
      </c>
      <c r="J8" s="1" t="s">
        <v>60</v>
      </c>
      <c r="K8" s="1" t="s">
        <v>34</v>
      </c>
      <c r="L8" s="1" t="s">
        <v>47</v>
      </c>
      <c r="M8" s="1" t="s">
        <v>25</v>
      </c>
      <c r="N8" s="1" t="s">
        <v>135</v>
      </c>
      <c r="O8" s="1" t="s">
        <v>55</v>
      </c>
      <c r="P8" s="6">
        <v>3640</v>
      </c>
      <c r="Q8" s="6"/>
      <c r="R8" s="7">
        <v>4980000</v>
      </c>
      <c r="S8" s="7">
        <f>PROJETS[[#This Row],[COUT TRAVAUX HT]]/PROJETS[[#This Row],[SURFACE SDP m²]]</f>
        <v>1368.131868131868</v>
      </c>
      <c r="U8" s="1" t="s">
        <v>62</v>
      </c>
      <c r="V8" s="1">
        <v>60</v>
      </c>
      <c r="W8" s="1" t="s">
        <v>63</v>
      </c>
      <c r="X8" s="1" t="s">
        <v>63</v>
      </c>
      <c r="Z8" s="1" t="s">
        <v>85</v>
      </c>
    </row>
    <row r="9" spans="1:45" x14ac:dyDescent="0.3">
      <c r="A9" s="1" t="s">
        <v>82</v>
      </c>
      <c r="B9" s="1" t="s">
        <v>83</v>
      </c>
      <c r="C9" s="1" t="s">
        <v>84</v>
      </c>
      <c r="D9" s="1" t="s">
        <v>20</v>
      </c>
      <c r="E9" s="1">
        <v>2017</v>
      </c>
      <c r="F9" s="1">
        <v>2026</v>
      </c>
      <c r="G9" s="1" t="s">
        <v>59</v>
      </c>
      <c r="H9" s="9">
        <v>91</v>
      </c>
      <c r="I9" s="1" t="s">
        <v>108</v>
      </c>
      <c r="J9" s="1" t="s">
        <v>60</v>
      </c>
      <c r="K9" s="1" t="s">
        <v>38</v>
      </c>
      <c r="L9" s="1" t="s">
        <v>51</v>
      </c>
      <c r="M9" s="1" t="s">
        <v>25</v>
      </c>
      <c r="N9" s="1" t="s">
        <v>111</v>
      </c>
      <c r="O9" s="1" t="s">
        <v>54</v>
      </c>
      <c r="P9" s="6"/>
      <c r="Q9" s="6"/>
      <c r="R9" s="7"/>
      <c r="S9" s="7" t="e">
        <f>PROJETS[[#This Row],[COUT TRAVAUX HT]]/PROJETS[[#This Row],[SURFACE SDP m²]]</f>
        <v>#DIV/0!</v>
      </c>
    </row>
    <row r="10" spans="1:45" x14ac:dyDescent="0.3">
      <c r="A10" s="1" t="s">
        <v>138</v>
      </c>
      <c r="B10" s="1" t="s">
        <v>136</v>
      </c>
      <c r="C10" s="1" t="s">
        <v>84</v>
      </c>
      <c r="D10" s="1" t="s">
        <v>21</v>
      </c>
      <c r="F10" s="1">
        <v>2021</v>
      </c>
      <c r="G10" s="1" t="s">
        <v>59</v>
      </c>
      <c r="H10" s="9">
        <v>91</v>
      </c>
      <c r="I10" s="1" t="s">
        <v>108</v>
      </c>
      <c r="J10" s="1" t="s">
        <v>60</v>
      </c>
      <c r="K10" s="1" t="s">
        <v>34</v>
      </c>
      <c r="L10" s="1" t="s">
        <v>47</v>
      </c>
      <c r="M10" s="1" t="s">
        <v>25</v>
      </c>
      <c r="N10" s="1" t="s">
        <v>137</v>
      </c>
      <c r="O10" s="1" t="s">
        <v>55</v>
      </c>
      <c r="P10" s="6">
        <v>1797</v>
      </c>
      <c r="Q10" s="6"/>
      <c r="R10" s="7">
        <v>2450000</v>
      </c>
      <c r="S10" s="7">
        <f>PROJETS[[#This Row],[COUT TRAVAUX HT]]/PROJETS[[#This Row],[SURFACE SDP m²]]</f>
        <v>1363.3834168057874</v>
      </c>
      <c r="U10" s="1" t="s">
        <v>123</v>
      </c>
      <c r="V10" s="1">
        <v>21</v>
      </c>
      <c r="W10" s="1" t="s">
        <v>63</v>
      </c>
      <c r="X10" s="1" t="s">
        <v>63</v>
      </c>
      <c r="Z10" s="1" t="s">
        <v>89</v>
      </c>
    </row>
    <row r="11" spans="1:45" x14ac:dyDescent="0.3">
      <c r="A11" s="1" t="s">
        <v>158</v>
      </c>
      <c r="B11" s="1" t="s">
        <v>159</v>
      </c>
      <c r="C11" s="1" t="s">
        <v>84</v>
      </c>
      <c r="D11" s="1" t="s">
        <v>21</v>
      </c>
      <c r="E11" s="1">
        <v>2018</v>
      </c>
      <c r="F11" s="1">
        <v>2023</v>
      </c>
      <c r="G11" s="1" t="s">
        <v>134</v>
      </c>
      <c r="H11" s="9">
        <v>91</v>
      </c>
      <c r="I11" s="1" t="s">
        <v>108</v>
      </c>
      <c r="J11" s="1" t="s">
        <v>60</v>
      </c>
      <c r="K11" s="1" t="s">
        <v>34</v>
      </c>
      <c r="L11" s="1" t="s">
        <v>47</v>
      </c>
      <c r="M11" s="1" t="s">
        <v>25</v>
      </c>
      <c r="N11" s="1" t="s">
        <v>160</v>
      </c>
      <c r="O11" s="1" t="s">
        <v>55</v>
      </c>
      <c r="P11" s="6">
        <v>6860</v>
      </c>
      <c r="Q11" s="6"/>
      <c r="R11" s="7">
        <v>10100000</v>
      </c>
      <c r="S11" s="7">
        <f>PROJETS[[#This Row],[COUT TRAVAUX HT]]/PROJETS[[#This Row],[SURFACE SDP m²]]</f>
        <v>1472.3032069970845</v>
      </c>
      <c r="U11" s="1" t="s">
        <v>157</v>
      </c>
      <c r="V11" s="1">
        <v>110</v>
      </c>
      <c r="W11" s="1" t="s">
        <v>63</v>
      </c>
      <c r="X11" s="1" t="s">
        <v>63</v>
      </c>
      <c r="Y11" s="1" t="s">
        <v>70</v>
      </c>
      <c r="Z11" s="1" t="s">
        <v>89</v>
      </c>
    </row>
    <row r="12" spans="1:45" x14ac:dyDescent="0.3">
      <c r="A12" s="1" t="s">
        <v>128</v>
      </c>
      <c r="B12" s="1" t="s">
        <v>127</v>
      </c>
      <c r="C12" s="1" t="s">
        <v>84</v>
      </c>
      <c r="D12" s="1" t="s">
        <v>21</v>
      </c>
      <c r="E12" s="1">
        <v>2019</v>
      </c>
      <c r="F12" s="1">
        <v>2024</v>
      </c>
      <c r="G12" s="1" t="s">
        <v>126</v>
      </c>
      <c r="H12" s="9">
        <v>91</v>
      </c>
      <c r="I12" s="1" t="s">
        <v>108</v>
      </c>
      <c r="J12" s="1" t="s">
        <v>60</v>
      </c>
      <c r="K12" s="1" t="s">
        <v>34</v>
      </c>
      <c r="L12" s="1" t="s">
        <v>47</v>
      </c>
      <c r="M12" s="1" t="s">
        <v>25</v>
      </c>
      <c r="N12" s="1" t="s">
        <v>112</v>
      </c>
      <c r="O12" s="1" t="s">
        <v>55</v>
      </c>
      <c r="P12" s="6">
        <v>2370</v>
      </c>
      <c r="Q12" s="6"/>
      <c r="R12" s="7">
        <v>4135000</v>
      </c>
      <c r="S12" s="7">
        <f>PROJETS[[#This Row],[COUT TRAVAUX HT]]/PROJETS[[#This Row],[SURFACE SDP m²]]</f>
        <v>1744.7257383966244</v>
      </c>
    </row>
    <row r="13" spans="1:45" x14ac:dyDescent="0.3">
      <c r="A13" s="1" t="s">
        <v>80</v>
      </c>
      <c r="B13" s="1" t="s">
        <v>81</v>
      </c>
      <c r="C13" s="1" t="s">
        <v>84</v>
      </c>
      <c r="D13" s="1" t="s">
        <v>21</v>
      </c>
      <c r="E13" s="1">
        <v>2019</v>
      </c>
      <c r="G13" s="1" t="s">
        <v>110</v>
      </c>
      <c r="H13" s="9">
        <v>91</v>
      </c>
      <c r="I13" s="1" t="s">
        <v>108</v>
      </c>
      <c r="J13" s="1" t="s">
        <v>60</v>
      </c>
      <c r="K13" s="1" t="s">
        <v>34</v>
      </c>
      <c r="L13" s="1" t="s">
        <v>47</v>
      </c>
      <c r="M13" s="1" t="s">
        <v>25</v>
      </c>
      <c r="N13" s="1" t="s">
        <v>112</v>
      </c>
      <c r="O13" s="1" t="s">
        <v>55</v>
      </c>
      <c r="P13" s="6">
        <v>2175</v>
      </c>
      <c r="Q13" s="6"/>
      <c r="R13" s="7">
        <v>3500000</v>
      </c>
      <c r="S13" s="7">
        <f>PROJETS[[#This Row],[COUT TRAVAUX HT]]/PROJETS[[#This Row],[SURFACE SDP m²]]</f>
        <v>1609.1954022988505</v>
      </c>
      <c r="U13" s="1" t="s">
        <v>113</v>
      </c>
      <c r="V13" s="1">
        <v>37</v>
      </c>
      <c r="W13" s="1" t="s">
        <v>63</v>
      </c>
      <c r="X13" s="1" t="s">
        <v>63</v>
      </c>
      <c r="Z13" s="1" t="s">
        <v>89</v>
      </c>
      <c r="AA13" s="1" t="s">
        <v>86</v>
      </c>
      <c r="AC13" s="1" t="s">
        <v>92</v>
      </c>
      <c r="AD13" s="1" t="s">
        <v>55</v>
      </c>
      <c r="AE13" s="1" t="s">
        <v>72</v>
      </c>
      <c r="AF13" s="1" t="s">
        <v>72</v>
      </c>
      <c r="AG13" s="1" t="s">
        <v>72</v>
      </c>
      <c r="AH13" s="1" t="s">
        <v>72</v>
      </c>
      <c r="AI13" s="1" t="s">
        <v>76</v>
      </c>
      <c r="AK13" s="1" t="s">
        <v>72</v>
      </c>
      <c r="AM13" s="1">
        <v>3</v>
      </c>
    </row>
    <row r="14" spans="1:45" x14ac:dyDescent="0.3">
      <c r="A14" s="1" t="s">
        <v>142</v>
      </c>
      <c r="B14" s="1" t="s">
        <v>141</v>
      </c>
      <c r="C14" s="1" t="s">
        <v>84</v>
      </c>
      <c r="D14" s="1" t="s">
        <v>23</v>
      </c>
      <c r="E14" s="1">
        <v>2019</v>
      </c>
      <c r="G14" s="1" t="s">
        <v>143</v>
      </c>
      <c r="H14" s="9">
        <v>91</v>
      </c>
      <c r="I14" s="1" t="s">
        <v>108</v>
      </c>
      <c r="J14" s="1" t="s">
        <v>60</v>
      </c>
      <c r="K14" s="1" t="s">
        <v>56</v>
      </c>
      <c r="L14" s="1" t="s">
        <v>144</v>
      </c>
      <c r="M14" s="1" t="s">
        <v>25</v>
      </c>
      <c r="N14" s="1" t="s">
        <v>112</v>
      </c>
      <c r="O14" s="1" t="s">
        <v>55</v>
      </c>
      <c r="P14" s="6">
        <v>2100</v>
      </c>
      <c r="Q14" s="6"/>
      <c r="R14" s="7">
        <v>3940000</v>
      </c>
      <c r="S14" s="7">
        <f>PROJETS[[#This Row],[COUT TRAVAUX HT]]/PROJETS[[#This Row],[SURFACE SDP m²]]</f>
        <v>1876.1904761904761</v>
      </c>
      <c r="U14" s="1" t="s">
        <v>62</v>
      </c>
      <c r="V14" s="1">
        <v>37</v>
      </c>
    </row>
    <row r="15" spans="1:45" x14ac:dyDescent="0.3">
      <c r="A15" s="1" t="s">
        <v>131</v>
      </c>
      <c r="B15" s="1" t="s">
        <v>129</v>
      </c>
      <c r="C15" s="1" t="s">
        <v>84</v>
      </c>
      <c r="D15" s="1" t="s">
        <v>21</v>
      </c>
      <c r="E15" s="1">
        <v>2023</v>
      </c>
      <c r="F15" s="1">
        <v>2024</v>
      </c>
      <c r="G15" s="1" t="s">
        <v>130</v>
      </c>
      <c r="H15" s="9">
        <v>92</v>
      </c>
      <c r="I15" s="1" t="s">
        <v>108</v>
      </c>
      <c r="J15" s="1" t="s">
        <v>60</v>
      </c>
      <c r="K15" s="1" t="s">
        <v>34</v>
      </c>
      <c r="L15" s="1" t="s">
        <v>48</v>
      </c>
      <c r="M15" s="1" t="s">
        <v>27</v>
      </c>
      <c r="O15" s="1" t="s">
        <v>55</v>
      </c>
      <c r="P15" s="6">
        <v>285</v>
      </c>
      <c r="Q15" s="6"/>
      <c r="R15" s="7"/>
      <c r="S15" s="7">
        <f>PROJETS[[#This Row],[COUT TRAVAUX HT]]/PROJETS[[#This Row],[SURFACE SDP m²]]</f>
        <v>0</v>
      </c>
      <c r="U15" s="1" t="s">
        <v>123</v>
      </c>
      <c r="V15" s="1">
        <v>1</v>
      </c>
    </row>
    <row r="16" spans="1:45" x14ac:dyDescent="0.3">
      <c r="A16" s="1" t="s">
        <v>124</v>
      </c>
      <c r="B16" s="1" t="s">
        <v>120</v>
      </c>
      <c r="C16" s="1" t="s">
        <v>84</v>
      </c>
      <c r="D16" s="1" t="s">
        <v>19</v>
      </c>
      <c r="E16" s="1">
        <v>2020</v>
      </c>
      <c r="G16" s="1" t="s">
        <v>121</v>
      </c>
      <c r="H16" s="9">
        <v>91</v>
      </c>
      <c r="I16" s="1" t="s">
        <v>108</v>
      </c>
      <c r="J16" s="1" t="s">
        <v>60</v>
      </c>
      <c r="K16" s="1" t="s">
        <v>34</v>
      </c>
      <c r="L16" s="1" t="s">
        <v>47</v>
      </c>
      <c r="M16" s="1" t="s">
        <v>25</v>
      </c>
      <c r="N16" s="1" t="s">
        <v>122</v>
      </c>
      <c r="O16" s="1" t="s">
        <v>54</v>
      </c>
      <c r="P16" s="6">
        <v>1200</v>
      </c>
      <c r="Q16" s="6"/>
      <c r="R16" s="7">
        <v>2408000</v>
      </c>
      <c r="S16" s="7">
        <f>PROJETS[[#This Row],[COUT TRAVAUX HT]]/PROJETS[[#This Row],[SURFACE SDP m²]]</f>
        <v>2006.6666666666667</v>
      </c>
      <c r="U16" s="1" t="s">
        <v>123</v>
      </c>
      <c r="V16" s="1">
        <v>16</v>
      </c>
      <c r="W16" s="1" t="s">
        <v>63</v>
      </c>
      <c r="X16" s="1" t="s">
        <v>63</v>
      </c>
    </row>
    <row r="17" spans="1:40" x14ac:dyDescent="0.3">
      <c r="A17" s="1" t="s">
        <v>116</v>
      </c>
      <c r="B17" s="1" t="s">
        <v>117</v>
      </c>
      <c r="C17" s="1" t="s">
        <v>84</v>
      </c>
      <c r="D17" s="1" t="s">
        <v>20</v>
      </c>
      <c r="E17" s="1">
        <v>2021</v>
      </c>
      <c r="F17" s="1">
        <v>2027</v>
      </c>
      <c r="G17" s="1" t="s">
        <v>118</v>
      </c>
      <c r="H17" s="9">
        <v>91</v>
      </c>
      <c r="I17" s="1" t="s">
        <v>108</v>
      </c>
      <c r="J17" s="1" t="s">
        <v>60</v>
      </c>
      <c r="K17" s="1" t="s">
        <v>34</v>
      </c>
      <c r="L17" s="1" t="s">
        <v>47</v>
      </c>
      <c r="M17" s="1" t="s">
        <v>25</v>
      </c>
      <c r="N17" s="1" t="s">
        <v>119</v>
      </c>
      <c r="O17" s="1" t="s">
        <v>55</v>
      </c>
      <c r="P17" s="6">
        <v>2900</v>
      </c>
      <c r="Q17" s="6"/>
      <c r="R17" s="7">
        <v>4892000</v>
      </c>
      <c r="S17" s="7">
        <f>PROJETS[[#This Row],[COUT TRAVAUX HT]]/PROJETS[[#This Row],[SURFACE SDP m²]]</f>
        <v>1686.8965517241379</v>
      </c>
      <c r="U17" s="1" t="s">
        <v>62</v>
      </c>
      <c r="V17" s="1">
        <v>59</v>
      </c>
      <c r="W17" s="1" t="s">
        <v>63</v>
      </c>
      <c r="X17" s="1" t="s">
        <v>63</v>
      </c>
      <c r="Y17" s="1" t="s">
        <v>70</v>
      </c>
      <c r="Z17" s="1" t="s">
        <v>85</v>
      </c>
      <c r="AC17" s="1" t="s">
        <v>92</v>
      </c>
      <c r="AD17" s="1" t="s">
        <v>55</v>
      </c>
      <c r="AE17" s="1" t="s">
        <v>72</v>
      </c>
      <c r="AF17" s="1" t="s">
        <v>72</v>
      </c>
      <c r="AG17" s="1" t="s">
        <v>72</v>
      </c>
      <c r="AH17" s="1" t="s">
        <v>72</v>
      </c>
      <c r="AI17" s="1" t="s">
        <v>76</v>
      </c>
      <c r="AK17" s="1" t="s">
        <v>72</v>
      </c>
      <c r="AL17" s="1" t="s">
        <v>72</v>
      </c>
      <c r="AM17" s="1">
        <v>2</v>
      </c>
    </row>
    <row r="18" spans="1:40" x14ac:dyDescent="0.3">
      <c r="B18" s="1" t="s">
        <v>154</v>
      </c>
      <c r="C18" s="1" t="s">
        <v>84</v>
      </c>
      <c r="D18" s="1" t="s">
        <v>19</v>
      </c>
      <c r="E18" s="1">
        <v>2024</v>
      </c>
      <c r="G18" s="1" t="s">
        <v>155</v>
      </c>
      <c r="H18" s="9">
        <v>78</v>
      </c>
      <c r="I18" s="1" t="s">
        <v>108</v>
      </c>
      <c r="J18" s="1" t="s">
        <v>60</v>
      </c>
      <c r="K18" s="1" t="s">
        <v>34</v>
      </c>
      <c r="L18" s="1" t="s">
        <v>47</v>
      </c>
      <c r="M18" s="1" t="s">
        <v>25</v>
      </c>
      <c r="N18" s="1" t="s">
        <v>156</v>
      </c>
      <c r="O18" s="1" t="s">
        <v>55</v>
      </c>
      <c r="P18" s="6">
        <v>4630</v>
      </c>
      <c r="Q18" s="6"/>
      <c r="R18" s="7">
        <v>9550000</v>
      </c>
      <c r="S18" s="7">
        <f>PROJETS[[#This Row],[COUT TRAVAUX HT]]/PROJETS[[#This Row],[SURFACE SDP m²]]</f>
        <v>2062.6349892008639</v>
      </c>
      <c r="U18" s="1" t="s">
        <v>157</v>
      </c>
      <c r="V18" s="1">
        <v>78</v>
      </c>
      <c r="W18" s="1" t="s">
        <v>63</v>
      </c>
      <c r="X18" s="1" t="s">
        <v>63</v>
      </c>
    </row>
    <row r="19" spans="1:40" x14ac:dyDescent="0.3">
      <c r="B19" s="1" t="s">
        <v>161</v>
      </c>
      <c r="C19" s="1" t="s">
        <v>84</v>
      </c>
      <c r="D19" s="1" t="s">
        <v>21</v>
      </c>
      <c r="F19" s="1">
        <v>2024</v>
      </c>
      <c r="G19" s="1" t="s">
        <v>162</v>
      </c>
      <c r="H19" s="9">
        <v>91</v>
      </c>
      <c r="I19" s="1" t="s">
        <v>108</v>
      </c>
      <c r="J19" s="1" t="s">
        <v>60</v>
      </c>
      <c r="K19" s="1" t="s">
        <v>37</v>
      </c>
      <c r="L19" s="1" t="s">
        <v>49</v>
      </c>
      <c r="M19" s="1" t="s">
        <v>25</v>
      </c>
      <c r="N19" s="1" t="s">
        <v>163</v>
      </c>
      <c r="O19" s="1" t="s">
        <v>54</v>
      </c>
      <c r="P19" s="6">
        <v>1550</v>
      </c>
      <c r="Q19" s="6"/>
      <c r="R19" s="7">
        <v>5800000</v>
      </c>
      <c r="S19" s="7">
        <f>PROJETS[[#This Row],[COUT TRAVAUX HT]]/PROJETS[[#This Row],[SURFACE SDP m²]]</f>
        <v>3741.9354838709678</v>
      </c>
    </row>
    <row r="20" spans="1:40" x14ac:dyDescent="0.3">
      <c r="B20" s="1" t="s">
        <v>166</v>
      </c>
      <c r="C20" s="1" t="s">
        <v>167</v>
      </c>
      <c r="D20" s="1" t="s">
        <v>21</v>
      </c>
      <c r="F20" s="1">
        <v>2020</v>
      </c>
      <c r="G20" s="1" t="s">
        <v>168</v>
      </c>
      <c r="H20" s="9">
        <v>91</v>
      </c>
      <c r="I20" s="1" t="s">
        <v>108</v>
      </c>
      <c r="J20" s="1" t="s">
        <v>60</v>
      </c>
      <c r="K20" s="1" t="s">
        <v>37</v>
      </c>
      <c r="L20" s="1" t="s">
        <v>49</v>
      </c>
      <c r="M20" s="1" t="s">
        <v>27</v>
      </c>
      <c r="N20" s="1" t="s">
        <v>169</v>
      </c>
      <c r="O20" s="1" t="s">
        <v>54</v>
      </c>
      <c r="P20" s="6">
        <v>8342</v>
      </c>
      <c r="Q20" s="6"/>
      <c r="R20" s="7">
        <v>13000000</v>
      </c>
      <c r="S20" s="7">
        <f>PROJETS[[#This Row],[COUT TRAVAUX HT]]/PROJETS[[#This Row],[SURFACE SDP m²]]</f>
        <v>1558.3792855430352</v>
      </c>
      <c r="Y20" s="1" t="s">
        <v>165</v>
      </c>
      <c r="Z20" s="1" t="s">
        <v>89</v>
      </c>
      <c r="AG20" s="1" t="s">
        <v>76</v>
      </c>
      <c r="AH20" s="1" t="s">
        <v>76</v>
      </c>
      <c r="AJ20" s="1" t="s">
        <v>76</v>
      </c>
      <c r="AN20" s="1" t="s">
        <v>170</v>
      </c>
    </row>
    <row r="21" spans="1:40" x14ac:dyDescent="0.3">
      <c r="B21" s="1" t="s">
        <v>171</v>
      </c>
      <c r="C21" s="1" t="s">
        <v>84</v>
      </c>
      <c r="D21" s="1" t="s">
        <v>21</v>
      </c>
      <c r="F21" s="1">
        <v>2021</v>
      </c>
      <c r="G21" s="1" t="s">
        <v>118</v>
      </c>
      <c r="H21" s="9">
        <v>91</v>
      </c>
      <c r="I21" s="1" t="s">
        <v>108</v>
      </c>
      <c r="J21" s="1" t="s">
        <v>60</v>
      </c>
      <c r="K21" s="1" t="s">
        <v>37</v>
      </c>
      <c r="L21" s="1" t="s">
        <v>49</v>
      </c>
      <c r="M21" s="1" t="s">
        <v>26</v>
      </c>
      <c r="N21" s="1" t="s">
        <v>172</v>
      </c>
      <c r="O21" s="1" t="s">
        <v>54</v>
      </c>
      <c r="P21" s="6">
        <v>1200</v>
      </c>
      <c r="Q21" s="6"/>
      <c r="R21" s="7">
        <v>1265000</v>
      </c>
      <c r="S21" s="7">
        <f>PROJETS[[#This Row],[COUT TRAVAUX HT]]/PROJETS[[#This Row],[SURFACE SDP m²]]</f>
        <v>1054.1666666666667</v>
      </c>
      <c r="AD21" s="1" t="s">
        <v>132</v>
      </c>
      <c r="AE21" s="1" t="s">
        <v>76</v>
      </c>
      <c r="AJ21" s="1" t="s">
        <v>76</v>
      </c>
    </row>
    <row r="22" spans="1:40" x14ac:dyDescent="0.3">
      <c r="H22" s="9"/>
      <c r="J22" s="1" t="s">
        <v>60</v>
      </c>
      <c r="P22" s="6"/>
      <c r="Q22" s="6"/>
      <c r="R22" s="7"/>
      <c r="S22" s="7" t="e">
        <f>PROJETS[[#This Row],[COUT TRAVAUX HT]]/PROJETS[[#This Row],[SURFACE SDP m²]]</f>
        <v>#DIV/0!</v>
      </c>
    </row>
    <row r="23" spans="1:40" x14ac:dyDescent="0.3">
      <c r="H23" s="9"/>
      <c r="J23" s="1" t="s">
        <v>60</v>
      </c>
      <c r="P23" s="6"/>
      <c r="Q23" s="6"/>
      <c r="R23" s="7"/>
      <c r="S23" s="7" t="e">
        <f>PROJETS[[#This Row],[COUT TRAVAUX HT]]/PROJETS[[#This Row],[SURFACE SDP m²]]</f>
        <v>#DIV/0!</v>
      </c>
    </row>
    <row r="24" spans="1:40" x14ac:dyDescent="0.3">
      <c r="H24" s="9"/>
      <c r="J24" s="1" t="s">
        <v>60</v>
      </c>
      <c r="P24" s="6"/>
      <c r="Q24" s="6"/>
      <c r="R24" s="7"/>
      <c r="S24" s="7" t="e">
        <f>PROJETS[[#This Row],[COUT TRAVAUX HT]]/PROJETS[[#This Row],[SURFACE SDP m²]]</f>
        <v>#DIV/0!</v>
      </c>
    </row>
    <row r="25" spans="1:40" x14ac:dyDescent="0.3">
      <c r="H25" s="9"/>
      <c r="J25" s="1" t="s">
        <v>60</v>
      </c>
      <c r="P25" s="6"/>
      <c r="Q25" s="6"/>
      <c r="R25" s="7"/>
      <c r="S25" s="7" t="e">
        <f>PROJETS[[#This Row],[COUT TRAVAUX HT]]/PROJETS[[#This Row],[SURFACE SDP m²]]</f>
        <v>#DIV/0!</v>
      </c>
    </row>
    <row r="26" spans="1:40" x14ac:dyDescent="0.3">
      <c r="H26" s="9"/>
      <c r="J26" s="1" t="s">
        <v>60</v>
      </c>
      <c r="P26" s="6"/>
      <c r="Q26" s="6"/>
      <c r="R26" s="7"/>
      <c r="S26" s="7" t="e">
        <f>PROJETS[[#This Row],[COUT TRAVAUX HT]]/PROJETS[[#This Row],[SURFACE SDP m²]]</f>
        <v>#DIV/0!</v>
      </c>
    </row>
    <row r="27" spans="1:40" x14ac:dyDescent="0.3">
      <c r="H27" s="9"/>
      <c r="J27" s="1" t="s">
        <v>60</v>
      </c>
      <c r="P27" s="6"/>
      <c r="Q27" s="6"/>
      <c r="R27" s="7"/>
      <c r="S27" s="7" t="e">
        <f>PROJETS[[#This Row],[COUT TRAVAUX HT]]/PROJETS[[#This Row],[SURFACE SDP m²]]</f>
        <v>#DIV/0!</v>
      </c>
    </row>
    <row r="28" spans="1:40" x14ac:dyDescent="0.3">
      <c r="H28" s="9"/>
      <c r="J28" s="1" t="s">
        <v>60</v>
      </c>
      <c r="P28" s="6"/>
      <c r="Q28" s="6"/>
      <c r="R28" s="7"/>
      <c r="S28" s="7" t="e">
        <f>PROJETS[[#This Row],[COUT TRAVAUX HT]]/PROJETS[[#This Row],[SURFACE SDP m²]]</f>
        <v>#DIV/0!</v>
      </c>
    </row>
    <row r="29" spans="1:40" x14ac:dyDescent="0.3">
      <c r="H29" s="9"/>
      <c r="J29" s="1" t="s">
        <v>60</v>
      </c>
      <c r="P29" s="6"/>
      <c r="Q29" s="6"/>
      <c r="R29" s="7"/>
      <c r="S29" s="7" t="e">
        <f>PROJETS[[#This Row],[COUT TRAVAUX HT]]/PROJETS[[#This Row],[SURFACE SDP m²]]</f>
        <v>#DIV/0!</v>
      </c>
    </row>
    <row r="30" spans="1:40" x14ac:dyDescent="0.3">
      <c r="H30" s="9"/>
      <c r="J30" s="1" t="s">
        <v>60</v>
      </c>
      <c r="P30" s="6"/>
      <c r="Q30" s="6"/>
      <c r="R30" s="7"/>
      <c r="S30" s="7" t="e">
        <f>PROJETS[[#This Row],[COUT TRAVAUX HT]]/PROJETS[[#This Row],[SURFACE SDP m²]]</f>
        <v>#DIV/0!</v>
      </c>
    </row>
    <row r="31" spans="1:40" x14ac:dyDescent="0.3">
      <c r="H31" s="9"/>
      <c r="J31" s="1" t="s">
        <v>60</v>
      </c>
      <c r="P31" s="6"/>
      <c r="Q31" s="6"/>
      <c r="R31" s="7"/>
      <c r="S31" s="7" t="e">
        <f>PROJETS[[#This Row],[COUT TRAVAUX HT]]/PROJETS[[#This Row],[SURFACE SDP m²]]</f>
        <v>#DIV/0!</v>
      </c>
    </row>
    <row r="32" spans="1:40" x14ac:dyDescent="0.3">
      <c r="H32" s="9"/>
      <c r="J32" s="1" t="s">
        <v>60</v>
      </c>
      <c r="P32" s="6"/>
      <c r="Q32" s="6"/>
      <c r="R32" s="7"/>
      <c r="S32" s="7" t="e">
        <f>PROJETS[[#This Row],[COUT TRAVAUX HT]]/PROJETS[[#This Row],[SURFACE SDP m²]]</f>
        <v>#DIV/0!</v>
      </c>
    </row>
    <row r="33" spans="8:19" x14ac:dyDescent="0.3">
      <c r="H33" s="9"/>
      <c r="J33" s="1" t="s">
        <v>60</v>
      </c>
      <c r="P33" s="6"/>
      <c r="Q33" s="6"/>
      <c r="R33" s="7"/>
      <c r="S33" s="7" t="e">
        <f>PROJETS[[#This Row],[COUT TRAVAUX HT]]/PROJETS[[#This Row],[SURFACE SDP m²]]</f>
        <v>#DIV/0!</v>
      </c>
    </row>
    <row r="34" spans="8:19" x14ac:dyDescent="0.3">
      <c r="H34" s="9"/>
      <c r="J34" s="1" t="s">
        <v>60</v>
      </c>
      <c r="P34" s="6"/>
      <c r="Q34" s="6"/>
      <c r="R34" s="7"/>
      <c r="S34" s="7" t="e">
        <f>PROJETS[[#This Row],[COUT TRAVAUX HT]]/PROJETS[[#This Row],[SURFACE SDP m²]]</f>
        <v>#DIV/0!</v>
      </c>
    </row>
    <row r="35" spans="8:19" x14ac:dyDescent="0.3">
      <c r="H35" s="9"/>
      <c r="J35" s="1" t="s">
        <v>60</v>
      </c>
      <c r="P35" s="6"/>
      <c r="Q35" s="6"/>
      <c r="R35" s="7"/>
      <c r="S35" s="7" t="e">
        <f>PROJETS[[#This Row],[COUT TRAVAUX HT]]/PROJETS[[#This Row],[SURFACE SDP m²]]</f>
        <v>#DIV/0!</v>
      </c>
    </row>
    <row r="36" spans="8:19" x14ac:dyDescent="0.3">
      <c r="H36" s="9"/>
      <c r="J36" s="1" t="s">
        <v>60</v>
      </c>
      <c r="P36" s="6"/>
      <c r="Q36" s="6"/>
      <c r="R36" s="7"/>
      <c r="S36" s="7" t="e">
        <f>PROJETS[[#This Row],[COUT TRAVAUX HT]]/PROJETS[[#This Row],[SURFACE SDP m²]]</f>
        <v>#DIV/0!</v>
      </c>
    </row>
    <row r="37" spans="8:19" x14ac:dyDescent="0.3">
      <c r="H37" s="9"/>
      <c r="P37" s="6"/>
      <c r="Q37" s="6"/>
      <c r="R37" s="7"/>
      <c r="S37" s="7" t="e">
        <f>PROJETS[[#This Row],[COUT TRAVAUX HT]]/PROJETS[[#This Row],[SURFACE SDP m²]]</f>
        <v>#DIV/0!</v>
      </c>
    </row>
    <row r="38" spans="8:19" x14ac:dyDescent="0.3">
      <c r="H38" s="9"/>
      <c r="P38" s="6"/>
      <c r="Q38" s="6"/>
      <c r="R38" s="7"/>
      <c r="S38" s="7" t="e">
        <f>PROJETS[[#This Row],[COUT TRAVAUX HT]]/PROJETS[[#This Row],[SURFACE SDP m²]]</f>
        <v>#DIV/0!</v>
      </c>
    </row>
    <row r="39" spans="8:19" x14ac:dyDescent="0.3">
      <c r="H39" s="9"/>
      <c r="P39" s="6"/>
      <c r="Q39" s="6"/>
      <c r="R39" s="7"/>
      <c r="S39" s="7" t="e">
        <f>PROJETS[[#This Row],[COUT TRAVAUX HT]]/PROJETS[[#This Row],[SURFACE SDP m²]]</f>
        <v>#DIV/0!</v>
      </c>
    </row>
    <row r="40" spans="8:19" x14ac:dyDescent="0.3">
      <c r="H40" s="9"/>
      <c r="P40" s="6"/>
      <c r="Q40" s="6"/>
      <c r="R40" s="7"/>
      <c r="S40" s="7" t="e">
        <f>PROJETS[[#This Row],[COUT TRAVAUX HT]]/PROJETS[[#This Row],[SURFACE SDP m²]]</f>
        <v>#DIV/0!</v>
      </c>
    </row>
    <row r="41" spans="8:19" x14ac:dyDescent="0.3">
      <c r="H41" s="9"/>
      <c r="P41" s="6"/>
      <c r="Q41" s="6"/>
      <c r="R41" s="7"/>
      <c r="S41" s="7" t="e">
        <f>PROJETS[[#This Row],[COUT TRAVAUX HT]]/PROJETS[[#This Row],[SURFACE SDP m²]]</f>
        <v>#DIV/0!</v>
      </c>
    </row>
    <row r="42" spans="8:19" x14ac:dyDescent="0.3">
      <c r="H42" s="9"/>
      <c r="P42" s="6"/>
      <c r="Q42" s="6"/>
      <c r="R42" s="7"/>
      <c r="S42" s="7" t="e">
        <f>PROJETS[[#This Row],[COUT TRAVAUX HT]]/PROJETS[[#This Row],[SURFACE SDP m²]]</f>
        <v>#DIV/0!</v>
      </c>
    </row>
    <row r="43" spans="8:19" x14ac:dyDescent="0.3">
      <c r="H43" s="9"/>
      <c r="P43" s="6"/>
      <c r="Q43" s="6"/>
      <c r="R43" s="7"/>
      <c r="S43" s="7" t="e">
        <f>PROJETS[[#This Row],[COUT TRAVAUX HT]]/PROJETS[[#This Row],[SURFACE SDP m²]]</f>
        <v>#DIV/0!</v>
      </c>
    </row>
    <row r="44" spans="8:19" x14ac:dyDescent="0.3">
      <c r="H44" s="9"/>
      <c r="P44" s="6"/>
      <c r="Q44" s="6"/>
      <c r="R44" s="7"/>
      <c r="S44" s="7" t="e">
        <f>PROJETS[[#This Row],[COUT TRAVAUX HT]]/PROJETS[[#This Row],[SURFACE SDP m²]]</f>
        <v>#DIV/0!</v>
      </c>
    </row>
    <row r="45" spans="8:19" x14ac:dyDescent="0.3">
      <c r="H45" s="9"/>
      <c r="P45" s="6"/>
      <c r="Q45" s="6"/>
      <c r="R45" s="7"/>
      <c r="S45" s="7" t="e">
        <f>PROJETS[[#This Row],[COUT TRAVAUX HT]]/PROJETS[[#This Row],[SURFACE SDP m²]]</f>
        <v>#DIV/0!</v>
      </c>
    </row>
    <row r="46" spans="8:19" x14ac:dyDescent="0.3">
      <c r="H46" s="9"/>
      <c r="P46" s="6"/>
      <c r="Q46" s="6"/>
      <c r="R46" s="7"/>
      <c r="S46" s="7" t="e">
        <f>PROJETS[[#This Row],[COUT TRAVAUX HT]]/PROJETS[[#This Row],[SURFACE SDP m²]]</f>
        <v>#DIV/0!</v>
      </c>
    </row>
    <row r="47" spans="8:19" x14ac:dyDescent="0.3">
      <c r="H47" s="9"/>
      <c r="P47" s="6"/>
      <c r="Q47" s="6"/>
      <c r="R47" s="7"/>
      <c r="S47" s="7" t="e">
        <f>PROJETS[[#This Row],[COUT TRAVAUX HT]]/PROJETS[[#This Row],[SURFACE SDP m²]]</f>
        <v>#DIV/0!</v>
      </c>
    </row>
    <row r="48" spans="8:19" x14ac:dyDescent="0.3">
      <c r="H48" s="9"/>
      <c r="P48" s="6"/>
      <c r="Q48" s="6"/>
      <c r="R48" s="7"/>
      <c r="S48" s="7" t="e">
        <f>PROJETS[[#This Row],[COUT TRAVAUX HT]]/PROJETS[[#This Row],[SURFACE SDP m²]]</f>
        <v>#DIV/0!</v>
      </c>
    </row>
  </sheetData>
  <dataValidations count="4">
    <dataValidation type="list" allowBlank="1" showInputMessage="1" showErrorMessage="1" sqref="AD2:AD48" xr:uid="{997CEB8B-7E75-4E8C-8073-5C39753EB706}">
      <formula1>"Public, Privé"</formula1>
    </dataValidation>
    <dataValidation type="list" allowBlank="1" showInputMessage="1" showErrorMessage="1" sqref="AE2:AL48" xr:uid="{1DFE606A-C9AF-4938-A04F-0D755A722AA4}">
      <formula1>"OUI, NON"</formula1>
    </dataValidation>
    <dataValidation type="list" allowBlank="1" showInputMessage="1" showErrorMessage="1" sqref="AM2:AM48" xr:uid="{EC3A8FB0-A9DB-4F8A-A090-58CAAF02E11E}">
      <formula1>"1, 2, 3, 4, 5"</formula1>
    </dataValidation>
    <dataValidation type="list" allowBlank="1" showInputMessage="1" showErrorMessage="1" sqref="C2:C48" xr:uid="{AFC3BDDA-8275-49D0-AB36-52852E7D676E}">
      <formula1>"ALU, ADA"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E0C5876-B723-4AAD-B4DB-6AF3E8BE9BF9}">
          <x14:formula1>
            <xm:f>LISTES_REFERENCE!$D$2:$D$26</xm:f>
          </x14:formula1>
          <xm:sqref>M2:M48</xm:sqref>
        </x14:dataValidation>
        <x14:dataValidation type="list" allowBlank="1" showInputMessage="1" showErrorMessage="1" xr:uid="{0970AFBA-B087-4B54-9575-3EA5571C0F25}">
          <x14:formula1>
            <xm:f>LISTES_REFERENCE!$E$2:$E$26</xm:f>
          </x14:formula1>
          <xm:sqref>O2:O48</xm:sqref>
        </x14:dataValidation>
        <x14:dataValidation type="list" allowBlank="1" showInputMessage="1" showErrorMessage="1" xr:uid="{D58BBFBE-A6B6-4D38-ABB0-2F1E09996613}">
          <x14:formula1>
            <xm:f>LISTES_REFERENCE!$H$2:$H$26</xm:f>
          </x14:formula1>
          <xm:sqref>W2:X48</xm:sqref>
        </x14:dataValidation>
        <x14:dataValidation type="list" allowBlank="1" showInputMessage="1" showErrorMessage="1" xr:uid="{5064A963-92FA-4AC4-BCDE-3C14FDEA7386}">
          <x14:formula1>
            <xm:f>LISTES_REFERENCE!$I$2:$I$26</xm:f>
          </x14:formula1>
          <xm:sqref>Y2:Y48</xm:sqref>
        </x14:dataValidation>
        <x14:dataValidation type="list" allowBlank="1" showInputMessage="1" showErrorMessage="1" xr:uid="{4443C660-5B19-4142-AFDB-9E36752757B2}">
          <x14:formula1>
            <xm:f>LISTES_REFERENCE!$F$2:$F$26</xm:f>
          </x14:formula1>
          <xm:sqref>Z2:Z48</xm:sqref>
        </x14:dataValidation>
        <x14:dataValidation type="list" allowBlank="1" showInputMessage="1" showErrorMessage="1" xr:uid="{9C7C458C-896A-4639-9913-4F504ADF804D}">
          <x14:formula1>
            <xm:f>LISTES_REFERENCE!$G$2:$G$26</xm:f>
          </x14:formula1>
          <xm:sqref>AA2:AA48</xm:sqref>
        </x14:dataValidation>
        <x14:dataValidation type="list" allowBlank="1" showInputMessage="1" showErrorMessage="1" xr:uid="{7F042258-ED5C-4A10-AEBC-B2E6689438B3}">
          <x14:formula1>
            <xm:f>LISTES_REFERENCE!$J$2:$J$26</xm:f>
          </x14:formula1>
          <xm:sqref>AC2:AC48</xm:sqref>
        </x14:dataValidation>
        <x14:dataValidation type="list" allowBlank="1" showInputMessage="1" showErrorMessage="1" xr:uid="{B12FC808-F742-498D-BA48-CBFE318C2E80}">
          <x14:formula1>
            <xm:f>LISTES_REFERENCE!$A$2:$A$26</xm:f>
          </x14:formula1>
          <xm:sqref>D2:D48</xm:sqref>
        </x14:dataValidation>
        <x14:dataValidation type="list" allowBlank="1" showInputMessage="1" showErrorMessage="1" xr:uid="{B2E895EB-2474-4C55-BC99-E1B2FF19D715}">
          <x14:formula1>
            <xm:f>LISTES_REFERENCE!$B$2:$B$26</xm:f>
          </x14:formula1>
          <xm:sqref>K2:K48</xm:sqref>
        </x14:dataValidation>
        <x14:dataValidation type="list" allowBlank="1" showInputMessage="1" showErrorMessage="1" xr:uid="{21CAC666-77AF-4B2C-BBF0-DEA1ED998D0D}">
          <x14:formula1>
            <xm:f>LISTES_REFERENCE!$C$2:$C$26</xm:f>
          </x14:formula1>
          <xm:sqref>L2:L48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2DC0-7604-4ED8-9310-3866E41168F0}">
  <dimension ref="A1:K26"/>
  <sheetViews>
    <sheetView workbookViewId="0">
      <selection activeCell="H17" sqref="H17"/>
    </sheetView>
  </sheetViews>
  <sheetFormatPr baseColWidth="10" defaultRowHeight="14.4" x14ac:dyDescent="0.3"/>
  <cols>
    <col min="1" max="11" width="17.77734375" style="2" customWidth="1"/>
  </cols>
  <sheetData>
    <row r="1" spans="1:11" ht="43.2" x14ac:dyDescent="0.3">
      <c r="A1" s="3" t="s">
        <v>98</v>
      </c>
      <c r="B1" s="3" t="s">
        <v>95</v>
      </c>
      <c r="C1" s="3" t="s">
        <v>96</v>
      </c>
      <c r="D1" s="3" t="s">
        <v>97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/>
    </row>
    <row r="2" spans="1:11" x14ac:dyDescent="0.3">
      <c r="A2" s="4" t="s">
        <v>19</v>
      </c>
      <c r="B2" s="4" t="s">
        <v>34</v>
      </c>
      <c r="C2" s="4" t="s">
        <v>43</v>
      </c>
      <c r="D2" s="4" t="s">
        <v>25</v>
      </c>
      <c r="E2" s="4" t="s">
        <v>54</v>
      </c>
      <c r="F2" s="4" t="s">
        <v>85</v>
      </c>
      <c r="G2" s="4" t="s">
        <v>86</v>
      </c>
      <c r="H2" s="4" t="s">
        <v>63</v>
      </c>
      <c r="I2" s="4" t="s">
        <v>70</v>
      </c>
      <c r="J2" s="4" t="s">
        <v>92</v>
      </c>
      <c r="K2" s="4"/>
    </row>
    <row r="3" spans="1:11" x14ac:dyDescent="0.3">
      <c r="A3" s="4" t="s">
        <v>22</v>
      </c>
      <c r="B3" s="4" t="s">
        <v>56</v>
      </c>
      <c r="C3" s="4" t="s">
        <v>44</v>
      </c>
      <c r="D3" s="4" t="s">
        <v>26</v>
      </c>
      <c r="E3" s="4" t="s">
        <v>55</v>
      </c>
      <c r="F3" s="4" t="s">
        <v>89</v>
      </c>
      <c r="G3" s="4" t="s">
        <v>88</v>
      </c>
      <c r="H3" s="4" t="s">
        <v>64</v>
      </c>
      <c r="I3" s="4" t="s">
        <v>71</v>
      </c>
      <c r="J3" s="4" t="s">
        <v>93</v>
      </c>
      <c r="K3" s="4"/>
    </row>
    <row r="4" spans="1:11" x14ac:dyDescent="0.3">
      <c r="A4" s="4" t="s">
        <v>23</v>
      </c>
      <c r="B4" s="4" t="s">
        <v>35</v>
      </c>
      <c r="C4" s="4" t="s">
        <v>45</v>
      </c>
      <c r="D4" s="4" t="s">
        <v>27</v>
      </c>
      <c r="E4" s="4"/>
      <c r="F4" s="4" t="s">
        <v>87</v>
      </c>
      <c r="G4" s="4" t="s">
        <v>90</v>
      </c>
      <c r="H4" s="4" t="s">
        <v>65</v>
      </c>
      <c r="I4" s="4" t="s">
        <v>164</v>
      </c>
      <c r="J4" s="4" t="s">
        <v>94</v>
      </c>
      <c r="K4" s="4"/>
    </row>
    <row r="5" spans="1:11" x14ac:dyDescent="0.3">
      <c r="A5" s="4" t="s">
        <v>20</v>
      </c>
      <c r="B5" s="4" t="s">
        <v>36</v>
      </c>
      <c r="C5" s="4" t="s">
        <v>46</v>
      </c>
      <c r="D5" s="4" t="s">
        <v>28</v>
      </c>
      <c r="E5" s="4"/>
      <c r="F5" s="4" t="s">
        <v>91</v>
      </c>
      <c r="G5" s="4"/>
      <c r="H5" s="4" t="s">
        <v>66</v>
      </c>
      <c r="I5" s="4" t="s">
        <v>165</v>
      </c>
      <c r="J5" s="4"/>
      <c r="K5" s="4"/>
    </row>
    <row r="6" spans="1:11" ht="28.8" x14ac:dyDescent="0.3">
      <c r="A6" s="4" t="s">
        <v>21</v>
      </c>
      <c r="B6" s="4" t="s">
        <v>37</v>
      </c>
      <c r="C6" s="4" t="s">
        <v>47</v>
      </c>
      <c r="D6" s="4" t="s">
        <v>29</v>
      </c>
      <c r="E6" s="4"/>
      <c r="F6" s="4"/>
      <c r="G6" s="4"/>
      <c r="H6" s="4" t="s">
        <v>67</v>
      </c>
      <c r="I6" s="4"/>
      <c r="J6" s="4"/>
      <c r="K6" s="4"/>
    </row>
    <row r="7" spans="1:11" x14ac:dyDescent="0.3">
      <c r="A7" s="4" t="s">
        <v>24</v>
      </c>
      <c r="B7" s="4" t="s">
        <v>38</v>
      </c>
      <c r="C7" s="4" t="s">
        <v>48</v>
      </c>
      <c r="D7" s="4" t="s">
        <v>30</v>
      </c>
      <c r="E7" s="4"/>
      <c r="F7" s="4"/>
      <c r="G7" s="4"/>
      <c r="H7" s="4" t="s">
        <v>68</v>
      </c>
      <c r="I7" s="4"/>
      <c r="J7" s="4"/>
      <c r="K7" s="4"/>
    </row>
    <row r="8" spans="1:11" ht="28.8" x14ac:dyDescent="0.3">
      <c r="A8" s="4"/>
      <c r="B8" s="4" t="s">
        <v>39</v>
      </c>
      <c r="C8" s="4" t="s">
        <v>57</v>
      </c>
      <c r="D8" s="4" t="s">
        <v>31</v>
      </c>
      <c r="E8" s="4"/>
      <c r="F8" s="4"/>
      <c r="G8" s="4"/>
      <c r="H8" s="4" t="s">
        <v>69</v>
      </c>
      <c r="I8" s="4"/>
      <c r="J8" s="4"/>
      <c r="K8" s="4"/>
    </row>
    <row r="9" spans="1:11" x14ac:dyDescent="0.3">
      <c r="A9" s="4"/>
      <c r="B9" s="4" t="s">
        <v>40</v>
      </c>
      <c r="C9" s="4" t="s">
        <v>58</v>
      </c>
      <c r="D9" s="4" t="s">
        <v>32</v>
      </c>
      <c r="E9" s="4"/>
      <c r="F9" s="4"/>
      <c r="G9" s="4"/>
      <c r="H9" s="4"/>
      <c r="I9" s="4"/>
      <c r="J9" s="4"/>
      <c r="K9" s="4"/>
    </row>
    <row r="10" spans="1:11" ht="28.8" x14ac:dyDescent="0.3">
      <c r="A10" s="4"/>
      <c r="B10" s="4" t="s">
        <v>41</v>
      </c>
      <c r="C10" s="2" t="s">
        <v>144</v>
      </c>
      <c r="D10" s="4" t="s">
        <v>33</v>
      </c>
      <c r="E10" s="4"/>
      <c r="F10" s="4"/>
      <c r="G10" s="4"/>
      <c r="H10" s="4"/>
      <c r="I10" s="4"/>
      <c r="J10" s="4"/>
      <c r="K10" s="4"/>
    </row>
    <row r="11" spans="1:11" ht="28.8" x14ac:dyDescent="0.3">
      <c r="A11" s="4"/>
      <c r="B11" s="4" t="s">
        <v>42</v>
      </c>
      <c r="C11" s="2" t="s">
        <v>149</v>
      </c>
      <c r="D11" s="4"/>
      <c r="E11" s="4"/>
      <c r="F11" s="4"/>
      <c r="G11" s="4"/>
      <c r="H11" s="4"/>
      <c r="I11" s="4"/>
      <c r="J11" s="4"/>
      <c r="K11" s="4"/>
    </row>
    <row r="12" spans="1:11" x14ac:dyDescent="0.3">
      <c r="A12" s="4"/>
      <c r="B12" s="4" t="s">
        <v>109</v>
      </c>
      <c r="C12" s="4" t="s">
        <v>49</v>
      </c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4"/>
      <c r="B13" s="2" t="s">
        <v>114</v>
      </c>
      <c r="C13" s="4" t="s">
        <v>50</v>
      </c>
      <c r="D13" s="4"/>
      <c r="E13" s="4"/>
      <c r="F13" s="4"/>
      <c r="G13" s="4"/>
      <c r="H13" s="4"/>
      <c r="I13" s="4"/>
      <c r="J13" s="4"/>
      <c r="K13" s="4"/>
    </row>
    <row r="14" spans="1:11" x14ac:dyDescent="0.3">
      <c r="A14" s="4"/>
      <c r="B14" s="4"/>
      <c r="C14" s="4" t="s">
        <v>51</v>
      </c>
      <c r="D14" s="4"/>
      <c r="E14" s="4"/>
      <c r="F14" s="4"/>
      <c r="G14" s="4"/>
      <c r="H14" s="4"/>
      <c r="I14" s="4"/>
      <c r="J14" s="4"/>
      <c r="K14" s="4"/>
    </row>
    <row r="15" spans="1:11" x14ac:dyDescent="0.3">
      <c r="A15" s="4"/>
      <c r="B15" s="4"/>
      <c r="C15" s="4" t="s">
        <v>52</v>
      </c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4"/>
      <c r="B16" s="4"/>
      <c r="C16" s="4" t="s">
        <v>53</v>
      </c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/>
      <c r="B17" s="4"/>
      <c r="C17" s="4" t="s">
        <v>115</v>
      </c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3e2df-ff58-46de-ba5e-f432db53d8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1288BA7775945BC7BE7A9B2372202" ma:contentTypeVersion="6" ma:contentTypeDescription="Crée un document." ma:contentTypeScope="" ma:versionID="bc762d3c56f76402c7c6c370d5d25505">
  <xsd:schema xmlns:xsd="http://www.w3.org/2001/XMLSchema" xmlns:xs="http://www.w3.org/2001/XMLSchema" xmlns:p="http://schemas.microsoft.com/office/2006/metadata/properties" xmlns:ns3="9bd3e2df-ff58-46de-ba5e-f432db53d811" targetNamespace="http://schemas.microsoft.com/office/2006/metadata/properties" ma:root="true" ma:fieldsID="da6804a67d9b7a3d08efad2143f29555" ns3:_="">
    <xsd:import namespace="9bd3e2df-ff58-46de-ba5e-f432db53d8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3e2df-ff58-46de-ba5e-f432db53d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DA959-A068-4C4A-9DAF-C4C8A7FBF0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82B47E-90A1-499E-A742-F0E0182746D1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9bd3e2df-ff58-46de-ba5e-f432db53d81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565F694-E868-4BC2-B248-BC8CFAB15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3e2df-ff58-46de-ba5e-f432db53d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PROJETS</vt:lpstr>
      <vt:lpstr>LISTES_REFERENCE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Noce</dc:creator>
  <cp:lastModifiedBy>Flora Noce</cp:lastModifiedBy>
  <dcterms:created xsi:type="dcterms:W3CDTF">2026-02-17T08:41:48Z</dcterms:created>
  <dcterms:modified xsi:type="dcterms:W3CDTF">2026-02-25T16:16:14Z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0x0101006DE1288BA7775945BC7BE7A9B2372202</vt:lpwstr>
  </property>
</Properties>
</file>